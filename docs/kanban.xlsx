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rreo2urledu-my.sharepoint.com/personal/getoyom_correo_url_edu_gt/Documents/Sexto Semestre/Ingenieria de Software I/EDA proyecto/sistema-citas/docs/"/>
    </mc:Choice>
  </mc:AlternateContent>
  <xr:revisionPtr revIDLastSave="3" documentId="11_98887390AAA25AFC294ACB30AF1A55969693A288" xr6:coauthVersionLast="47" xr6:coauthVersionMax="47" xr10:uidLastSave="{0A8A5AB4-9014-4999-951B-701B1A952822}"/>
  <bookViews>
    <workbookView xWindow="-108" yWindow="-108" windowWidth="23256" windowHeight="13896" xr2:uid="{00000000-000D-0000-FFFF-FFFF00000000}"/>
  </bookViews>
  <sheets>
    <sheet name="Tablero Kanban" sheetId="1" r:id="rId1"/>
    <sheet name="Resumen y Métricas" sheetId="2" r:id="rId2"/>
  </sheets>
  <definedNames>
    <definedName name="_xlnm._FilterDatabase" localSheetId="0" hidden="1">'Tablero Kanban'!$A$3:$H$33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13" i="2"/>
  <c r="C9" i="2"/>
  <c r="C8" i="2"/>
  <c r="C7" i="2"/>
  <c r="C6" i="2"/>
  <c r="C5" i="2"/>
  <c r="C4" i="2"/>
  <c r="B18" i="2" l="1"/>
  <c r="C14" i="2" s="1"/>
  <c r="C10" i="2"/>
  <c r="D7" i="2" s="1"/>
  <c r="C15" i="2" l="1"/>
  <c r="C13" i="2"/>
  <c r="C17" i="2"/>
  <c r="C16" i="2"/>
  <c r="D5" i="2"/>
  <c r="D8" i="2"/>
  <c r="D4" i="2"/>
  <c r="D9" i="2"/>
  <c r="D6" i="2"/>
  <c r="C18" i="2" l="1"/>
  <c r="D10" i="2"/>
</calcChain>
</file>

<file path=xl/sharedStrings.xml><?xml version="1.0" encoding="utf-8"?>
<sst xmlns="http://schemas.openxmlformats.org/spreadsheetml/2006/main" count="246" uniqueCount="133">
  <si>
    <t>TABLERO KANBAN — PLANIFICACIÓN Y SEGUIMIENTO DE TAREAS</t>
  </si>
  <si>
    <t>Total de tarjetas: 30  |  Módulos: M1 a M5 + Integración  |  Estado editable mediante lista desplegable</t>
  </si>
  <si>
    <t>ID</t>
  </si>
  <si>
    <t>Tarjeta</t>
  </si>
  <si>
    <t>Responsable</t>
  </si>
  <si>
    <t>Módulo</t>
  </si>
  <si>
    <t>Requisito</t>
  </si>
  <si>
    <t>Estado</t>
  </si>
  <si>
    <t>Fecha límite</t>
  </si>
  <si>
    <t>Criterio de aceptación</t>
  </si>
  <si>
    <t>K-05</t>
  </si>
  <si>
    <t>Actualizar tedious a ≥ 20.3.6 (vulnerabilidad moderada en sprintf-js) cuando la versión tenga ≥ 2 semanas publicada</t>
  </si>
  <si>
    <t>Gabriel Toyom</t>
  </si>
  <si>
    <t>M1 Plataforma</t>
  </si>
  <si>
    <t>Backlog</t>
  </si>
  <si>
    <t>K-01</t>
  </si>
  <si>
    <t>Crear el repositorio en GitHub, proteger main (PR + 1 aprobación + CI) y configurar CODEOWNERS con los usuarios reales</t>
  </si>
  <si>
    <t>—</t>
  </si>
  <si>
    <t>Completado</t>
  </si>
  <si>
    <t>Nadie puede hacer push directo a main; los 5 integrantes tienen acceso</t>
  </si>
  <si>
    <t>K-02</t>
  </si>
  <si>
    <t>Levantar el entorno completo con docker compose up y documentar requisitos (RAM, puertos)</t>
  </si>
  <si>
    <t>Por hacer</t>
  </si>
  <si>
    <t>Los 8 contenedores quedan healthy o exited (0) (db-init) en la máquina de cada integrante</t>
  </si>
  <si>
    <t>K-03</t>
  </si>
  <si>
    <t>Revisar y defender la librería compartida: contrato de eventos, topología (quorum, DLX, delivery-limit) y cliente AMQP</t>
  </si>
  <si>
    <t>RNF-01</t>
  </si>
  <si>
    <t>Explica en 3 min por qué ack manual + quorum + DLX garantizan at-least-once</t>
  </si>
  <si>
    <t>K-04</t>
  </si>
  <si>
    <t>Pipeline CI en verde (lint, pruebas, npm audit, validación de compose)</t>
  </si>
  <si>
    <t>Un PR con una prueba rota queda bloqueado</t>
  </si>
  <si>
    <t>K-06</t>
  </si>
  <si>
    <t>Guion del dry-run, reparto de quién habla y cronómetro (7–8 min)</t>
  </si>
  <si>
    <t>DEMO.md ensayado 2 veces dentro del tiempo</t>
  </si>
  <si>
    <t>K-07</t>
  </si>
  <si>
    <t>Alinear la documentación del Hito 1 con el prototipo (Node 24, RabbitMQ 4.1, criterio de RF-04 en modo demo, idempotencia de Notificaciones en volumen)</t>
  </si>
  <si>
    <t>Documento del Hito 1 y código coinciden</t>
  </si>
  <si>
    <t>K-08</t>
  </si>
  <si>
    <t>Revisar y defender el código base de la API de Citas (app, dominio, repositorios)</t>
  </si>
  <si>
    <t>Sophia Corea</t>
  </si>
  <si>
    <t>M2 API de Citas</t>
  </si>
  <si>
    <t>RF-01</t>
  </si>
  <si>
    <t>Explica el flujo de POST /api/citas línea por línea</t>
  </si>
  <si>
    <t>K-09</t>
  </si>
  <si>
    <t>Script de CitasDB: tablas, UQ_citas_medico_fecha, outbox, datos semilla y login de mínimo privilegio</t>
  </si>
  <si>
    <t>db-init termina con código 0 y citas_app no puede borrar (sin DELETE)</t>
  </si>
  <si>
    <t>K-10</t>
  </si>
  <si>
    <t>GET /api/medicos y GET /api/medicos/:id/horarios contra SQL Server</t>
  </si>
  <si>
    <t>Los horarios ocupados y pasados no aparecen</t>
  </si>
  <si>
    <t>K-11</t>
  </si>
  <si>
    <t>POST /api/citas: transacción cita + outbox; respuestas 201, 400 y 409</t>
  </si>
  <si>
    <t>RF-01, RF-02</t>
  </si>
  <si>
    <t>Cada cita creada deja exactamente una fila en outbox</t>
  </si>
  <si>
    <t>K-12</t>
  </si>
  <si>
    <t>Prueba de concurrencia contra la BD real: 10 solicitudes simultáneas al mismo horario</t>
  </si>
  <si>
    <t>Resultado: 1 × 201 y 9 × 409</t>
  </si>
  <si>
    <t>K-13</t>
  </si>
  <si>
    <t>Revisar y defender el código base del portal y del relay del outbox</t>
  </si>
  <si>
    <t>Javier Monje</t>
  </si>
  <si>
    <t>M3 Portal + Relay</t>
  </si>
  <si>
    <t>RF-02</t>
  </si>
  <si>
    <t>Explica por qué el relay usa UPDLOCK, READPAST y publisher confirms</t>
  </si>
  <si>
    <t>K-14</t>
  </si>
  <si>
    <t>Portal: flujo médico → fecha → horario → datos del paciente, usable con teclado</t>
  </si>
  <si>
    <t>Se agenda una cita completa sin usar el mouse</t>
  </si>
  <si>
    <t>K-15</t>
  </si>
  <si>
    <t>Portal: mensajes claros para 201, 400 y 409, y recarga de horarios</t>
  </si>
  <si>
    <t>Con dos pestañas en el mismo horario, la segunda muestra el aviso de 409</t>
  </si>
  <si>
    <t>K-16</t>
  </si>
  <si>
    <t>Relay del outbox: publicación con confirmación y backoff ante fallos</t>
  </si>
  <si>
    <t>Los eventos pasan de publicado_en IS NULL a publicados en ≤ 2 s</t>
  </si>
  <si>
    <t>K-17</t>
  </si>
  <si>
    <t>Prueba del flujo 6a: con RabbitMQ detenido la API sigue respondiendo 201 y, al volver, el outbox se vacía</t>
  </si>
  <si>
    <t>3 citas creadas sin broker → 3 correos tras reiniciarlo</t>
  </si>
  <si>
    <t>K-18</t>
  </si>
  <si>
    <t>Revisar y defender el código base del Servicio de Notificaciones</t>
  </si>
  <si>
    <t>Ruddy Cuyán</t>
  </si>
  <si>
    <t>M4 Notificaciones</t>
  </si>
  <si>
    <t>RF-03</t>
  </si>
  <si>
    <t>Explica el orden verificar duplicado → enviar → registrar y su límite</t>
  </si>
  <si>
    <t>K-19</t>
  </si>
  <si>
    <t>Correo de confirmación en MailHog en ≤ 30 s, con número de cita, médico, fecha y hora</t>
  </si>
  <si>
    <t>Diferencia occurredAt → recepción medida y anotada</t>
  </si>
  <si>
    <t>K-20</t>
  </si>
  <si>
    <t>Correo de recordatorio a partir de RecordatorioVencido</t>
  </si>
  <si>
    <t>RF-04</t>
  </si>
  <si>
    <t>El recordatorio llega con el mismo correlationId que la cita</t>
  </si>
  <si>
    <t>K-21</t>
  </si>
  <si>
    <t>Prueba de idempotencia: detener el servicio, crear 5 citas y reiniciarlo</t>
  </si>
  <si>
    <t>5 correos, 0 duplicados</t>
  </si>
  <si>
    <t>K-22</t>
  </si>
  <si>
    <t>Prueba de DLQ: publicar un mensaje inválido desde la consola de RabbitMQ</t>
  </si>
  <si>
    <t>El mensaje termina en notificaciones.dlq y el servicio sigue consumiendo</t>
  </si>
  <si>
    <t>K-23</t>
  </si>
  <si>
    <t>Revisar y defender el código base del Servicio de Recordatorios</t>
  </si>
  <si>
    <t>Nery Herrera</t>
  </si>
  <si>
    <t>M5 Recordatorios</t>
  </si>
  <si>
    <t>Explica por qué el eventId del recordatorio se genera al programarlo</t>
  </si>
  <si>
    <t>K-24</t>
  </si>
  <si>
    <t>Script de RecordatoriosDB y login recordatorios_app</t>
  </si>
  <si>
    <t>recordatorios_app no tiene acceso a CitasDB</t>
  </si>
  <si>
    <t>K-25</t>
  </si>
  <si>
    <t>Consumidor de CitaAgendada: programa el recordatorio de forma idempotente</t>
  </si>
  <si>
    <t>RF-04, RNF-01</t>
  </si>
  <si>
    <t>Reenviar el mismo evento no crea un segundo recordatorio</t>
  </si>
  <si>
    <t>K-26</t>
  </si>
  <si>
    <t>Programador: publica RecordatorioVencido con confirmación; modo demo de 60 s</t>
  </si>
  <si>
    <t>Con REMINDER_DEMO_DELAY_SECONDS=60, el recordatorio llega ≈ 60 s después de agendar</t>
  </si>
  <si>
    <t>K-27</t>
  </si>
  <si>
    <t>Prueba de reinicio: detener el servicio con recordatorios pendientes y volver a iniciarlo</t>
  </si>
  <si>
    <t>Cada recordatorio pendiente se publica una sola vez</t>
  </si>
  <si>
    <t>K-28</t>
  </si>
  <si>
    <t>Integración de punta a punta y ensayo interno #1</t>
  </si>
  <si>
    <t>Todo el equipo</t>
  </si>
  <si>
    <t>Integración</t>
  </si>
  <si>
    <t>Todos</t>
  </si>
  <si>
    <t>El guion completo corre sin intervención manual en el código</t>
  </si>
  <si>
    <t>K-29</t>
  </si>
  <si>
    <t>Ensayo interno #2 cronometrado y video de respaldo de la demo</t>
  </si>
  <si>
    <t>Demo en 7–8 min; video guardado por si falla la red o el equipo</t>
  </si>
  <si>
    <t>K-30</t>
  </si>
  <si>
    <t>Dry-run del Hito 2</t>
  </si>
  <si>
    <t>Demo presentada y retroalimentación anotada como tarjetas nuevas</t>
  </si>
  <si>
    <t>RESUMEN EJECUTIVO — DISTRIBUCIÓN DE CARGA Y MÓDULOS</t>
  </si>
  <si>
    <t>Módulo Principal</t>
  </si>
  <si>
    <t>Total Tareas</t>
  </si>
  <si>
    <t>% de Carga</t>
  </si>
  <si>
    <t>Total General</t>
  </si>
  <si>
    <t>Cantidad</t>
  </si>
  <si>
    <t>% Avance</t>
  </si>
  <si>
    <t>En progreso</t>
  </si>
  <si>
    <t>En revisión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</si>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</sst>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475569"/>
      <name val="Calibri"/>
      <family val="2"/>
    </font>
    <font>
      <b/>
      <sz val="11"/>
      <color rgb="FFFFFFFF"/>
      <name val="Calibri"/>
      <family val="2"/>
    </font>
    <font>
      <b/>
      <sz val="10"/>
      <color rgb="FF1E293B"/>
      <name val="Calibri"/>
      <family val="2"/>
    </font>
    <font>
      <sz val="10"/>
      <color rgb="FF1E293B"/>
      <name val="Calibri"/>
      <family val="2"/>
    </font>
    <font>
      <b/>
      <sz val="10"/>
      <color rgb="FF0F172A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E0F2FE"/>
        <bgColor rgb="FFE0F2FE"/>
      </patternFill>
    </fill>
    <fill>
      <patternFill patternType="solid">
        <fgColor rgb="FFF8FAFC"/>
        <bgColor rgb="FFF8FAFC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FFFFE4E6"/>
        <bgColor rgb="FFFFE4E6"/>
      </patternFill>
    </fill>
    <fill>
      <patternFill patternType="solid">
        <fgColor rgb="FFE2E8F0"/>
        <bgColor rgb="FFE2E8F0"/>
      </patternFill>
    </fill>
    <fill>
      <patternFill patternType="solid">
        <fgColor rgb="FFDBEAFE"/>
        <b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165" fontId="6" fillId="1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GT"/>
              <a:t>Tarjetas Asignadas por Responsable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y Métricas'!$C$3</c:f>
              <c:strCache>
                <c:ptCount val="1"/>
                <c:pt idx="0">
                  <c:v>Total Tareas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y Métricas'!$A$4:$A$9</c:f>
              <c:strCache>
                <c:ptCount val="6"/>
                <c:pt idx="0">
                  <c:v>Gabriel Toyom</c:v>
                </c:pt>
                <c:pt idx="1">
                  <c:v>Sophia Corea</c:v>
                </c:pt>
                <c:pt idx="2">
                  <c:v>Javier Monje</c:v>
                </c:pt>
                <c:pt idx="3">
                  <c:v>Ruddy Cuyán</c:v>
                </c:pt>
                <c:pt idx="4">
                  <c:v>Nery Herrera</c:v>
                </c:pt>
                <c:pt idx="5">
                  <c:v>Todo el equipo</c:v>
                </c:pt>
              </c:strCache>
            </c:strRef>
          </c:cat>
          <c:val>
            <c:numRef>
              <c:f>'Resumen y Métricas'!$C$4:$C$9</c:f>
              <c:numCache>
                <c:formatCode>General</c:formatCode>
                <c:ptCount val="6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7-49C8-9DD9-09C4AC60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Responsable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Cantidad de Tarjetas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pane ySplit="3" topLeftCell="A11" activePane="bottomLeft" state="frozen"/>
      <selection pane="bottomLeft" activeCell="F6" sqref="F6"/>
    </sheetView>
  </sheetViews>
  <sheetFormatPr baseColWidth="10" defaultColWidth="8.88671875" defaultRowHeight="14.4" x14ac:dyDescent="0.3"/>
  <cols>
    <col min="1" max="1" width="10" customWidth="1"/>
    <col min="2" max="2" width="62.33203125" bestFit="1" customWidth="1"/>
    <col min="3" max="3" width="18" customWidth="1"/>
    <col min="4" max="4" width="20" customWidth="1"/>
    <col min="5" max="7" width="15" customWidth="1"/>
    <col min="8" max="8" width="50" customWidth="1"/>
  </cols>
  <sheetData>
    <row r="1" spans="1:8" ht="31.95" customHeight="1" x14ac:dyDescent="0.3">
      <c r="A1" s="41" t="s">
        <v>0</v>
      </c>
      <c r="B1" s="40"/>
      <c r="C1" s="40"/>
      <c r="D1" s="40"/>
      <c r="E1" s="40"/>
      <c r="F1" s="40"/>
      <c r="G1" s="40"/>
      <c r="H1" s="40"/>
    </row>
    <row r="2" spans="1:8" ht="19.95" customHeight="1" x14ac:dyDescent="0.3">
      <c r="A2" s="39" t="s">
        <v>1</v>
      </c>
      <c r="B2" s="40"/>
      <c r="C2" s="40"/>
      <c r="D2" s="40"/>
      <c r="E2" s="40"/>
      <c r="F2" s="40"/>
      <c r="G2" s="40"/>
      <c r="H2" s="40"/>
    </row>
    <row r="3" spans="1:8" ht="25.95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2" t="s">
        <v>9</v>
      </c>
    </row>
    <row r="4" spans="1:8" ht="34.200000000000003" customHeight="1" x14ac:dyDescent="0.3">
      <c r="A4" s="3" t="s">
        <v>10</v>
      </c>
      <c r="B4" s="4" t="s">
        <v>11</v>
      </c>
      <c r="C4" s="4" t="s">
        <v>12</v>
      </c>
      <c r="D4" s="5" t="s">
        <v>13</v>
      </c>
      <c r="E4" s="6"/>
      <c r="F4" s="7" t="s">
        <v>14</v>
      </c>
      <c r="G4" s="8">
        <v>46321</v>
      </c>
      <c r="H4" s="4"/>
    </row>
    <row r="5" spans="1:8" ht="34.200000000000003" customHeight="1" x14ac:dyDescent="0.3">
      <c r="A5" s="9" t="s">
        <v>15</v>
      </c>
      <c r="B5" s="10" t="s">
        <v>16</v>
      </c>
      <c r="C5" s="10" t="s">
        <v>12</v>
      </c>
      <c r="D5" s="5" t="s">
        <v>13</v>
      </c>
      <c r="E5" s="11" t="s">
        <v>17</v>
      </c>
      <c r="F5" s="12" t="s">
        <v>18</v>
      </c>
      <c r="G5" s="13">
        <v>46307</v>
      </c>
      <c r="H5" s="10" t="s">
        <v>19</v>
      </c>
    </row>
    <row r="6" spans="1:8" ht="34.200000000000003" customHeight="1" x14ac:dyDescent="0.3">
      <c r="A6" s="3" t="s">
        <v>20</v>
      </c>
      <c r="B6" s="4" t="s">
        <v>21</v>
      </c>
      <c r="C6" s="4" t="s">
        <v>12</v>
      </c>
      <c r="D6" s="5" t="s">
        <v>13</v>
      </c>
      <c r="E6" s="6" t="s">
        <v>17</v>
      </c>
      <c r="F6" s="12" t="s">
        <v>130</v>
      </c>
      <c r="G6" s="8">
        <v>46308</v>
      </c>
      <c r="H6" s="4" t="s">
        <v>23</v>
      </c>
    </row>
    <row r="7" spans="1:8" ht="34.200000000000003" customHeight="1" x14ac:dyDescent="0.3">
      <c r="A7" s="9" t="s">
        <v>24</v>
      </c>
      <c r="B7" s="10" t="s">
        <v>25</v>
      </c>
      <c r="C7" s="10" t="s">
        <v>12</v>
      </c>
      <c r="D7" s="5" t="s">
        <v>13</v>
      </c>
      <c r="E7" s="11" t="s">
        <v>26</v>
      </c>
      <c r="F7" s="12" t="s">
        <v>22</v>
      </c>
      <c r="G7" s="13">
        <v>46309</v>
      </c>
      <c r="H7" s="10" t="s">
        <v>27</v>
      </c>
    </row>
    <row r="8" spans="1:8" ht="34.200000000000003" customHeight="1" x14ac:dyDescent="0.3">
      <c r="A8" s="3" t="s">
        <v>28</v>
      </c>
      <c r="B8" s="4" t="s">
        <v>29</v>
      </c>
      <c r="C8" s="4" t="s">
        <v>12</v>
      </c>
      <c r="D8" s="5" t="s">
        <v>13</v>
      </c>
      <c r="E8" s="6" t="s">
        <v>17</v>
      </c>
      <c r="F8" s="12" t="s">
        <v>22</v>
      </c>
      <c r="G8" s="8">
        <v>46309</v>
      </c>
      <c r="H8" s="4" t="s">
        <v>30</v>
      </c>
    </row>
    <row r="9" spans="1:8" ht="34.200000000000003" customHeight="1" x14ac:dyDescent="0.3">
      <c r="A9" s="9" t="s">
        <v>31</v>
      </c>
      <c r="B9" s="10" t="s">
        <v>32</v>
      </c>
      <c r="C9" s="10" t="s">
        <v>12</v>
      </c>
      <c r="D9" s="5" t="s">
        <v>13</v>
      </c>
      <c r="E9" s="11" t="s">
        <v>17</v>
      </c>
      <c r="F9" s="12" t="s">
        <v>22</v>
      </c>
      <c r="G9" s="13">
        <v>46315</v>
      </c>
      <c r="H9" s="10" t="s">
        <v>33</v>
      </c>
    </row>
    <row r="10" spans="1:8" ht="34.200000000000003" customHeight="1" x14ac:dyDescent="0.3">
      <c r="A10" s="3" t="s">
        <v>34</v>
      </c>
      <c r="B10" s="4" t="s">
        <v>35</v>
      </c>
      <c r="C10" s="4" t="s">
        <v>12</v>
      </c>
      <c r="D10" s="5" t="s">
        <v>13</v>
      </c>
      <c r="E10" s="6" t="s">
        <v>17</v>
      </c>
      <c r="F10" s="12" t="s">
        <v>22</v>
      </c>
      <c r="G10" s="8">
        <v>46311</v>
      </c>
      <c r="H10" s="4" t="s">
        <v>36</v>
      </c>
    </row>
    <row r="11" spans="1:8" ht="34.200000000000003" customHeight="1" x14ac:dyDescent="0.3">
      <c r="A11" s="9" t="s">
        <v>37</v>
      </c>
      <c r="B11" s="10" t="s">
        <v>38</v>
      </c>
      <c r="C11" s="10" t="s">
        <v>39</v>
      </c>
      <c r="D11" s="14" t="s">
        <v>40</v>
      </c>
      <c r="E11" s="11" t="s">
        <v>41</v>
      </c>
      <c r="F11" s="12" t="s">
        <v>22</v>
      </c>
      <c r="G11" s="13">
        <v>46308</v>
      </c>
      <c r="H11" s="10" t="s">
        <v>42</v>
      </c>
    </row>
    <row r="12" spans="1:8" ht="34.200000000000003" customHeight="1" x14ac:dyDescent="0.3">
      <c r="A12" s="3" t="s">
        <v>43</v>
      </c>
      <c r="B12" s="4" t="s">
        <v>44</v>
      </c>
      <c r="C12" s="4" t="s">
        <v>39</v>
      </c>
      <c r="D12" s="14" t="s">
        <v>40</v>
      </c>
      <c r="E12" s="6" t="s">
        <v>41</v>
      </c>
      <c r="F12" s="12" t="s">
        <v>22</v>
      </c>
      <c r="G12" s="8">
        <v>46309</v>
      </c>
      <c r="H12" s="4" t="s">
        <v>45</v>
      </c>
    </row>
    <row r="13" spans="1:8" ht="34.200000000000003" customHeight="1" x14ac:dyDescent="0.3">
      <c r="A13" s="9" t="s">
        <v>46</v>
      </c>
      <c r="B13" s="10" t="s">
        <v>47</v>
      </c>
      <c r="C13" s="10" t="s">
        <v>39</v>
      </c>
      <c r="D13" s="14" t="s">
        <v>40</v>
      </c>
      <c r="E13" s="11" t="s">
        <v>41</v>
      </c>
      <c r="F13" s="12" t="s">
        <v>22</v>
      </c>
      <c r="G13" s="13">
        <v>46310</v>
      </c>
      <c r="H13" s="10" t="s">
        <v>48</v>
      </c>
    </row>
    <row r="14" spans="1:8" ht="34.200000000000003" customHeight="1" x14ac:dyDescent="0.3">
      <c r="A14" s="3" t="s">
        <v>49</v>
      </c>
      <c r="B14" s="4" t="s">
        <v>50</v>
      </c>
      <c r="C14" s="4" t="s">
        <v>39</v>
      </c>
      <c r="D14" s="14" t="s">
        <v>40</v>
      </c>
      <c r="E14" s="6" t="s">
        <v>51</v>
      </c>
      <c r="F14" s="12" t="s">
        <v>22</v>
      </c>
      <c r="G14" s="8">
        <v>46311</v>
      </c>
      <c r="H14" s="4" t="s">
        <v>52</v>
      </c>
    </row>
    <row r="15" spans="1:8" ht="34.200000000000003" customHeight="1" x14ac:dyDescent="0.3">
      <c r="A15" s="9" t="s">
        <v>53</v>
      </c>
      <c r="B15" s="10" t="s">
        <v>54</v>
      </c>
      <c r="C15" s="10" t="s">
        <v>39</v>
      </c>
      <c r="D15" s="14" t="s">
        <v>40</v>
      </c>
      <c r="E15" s="11" t="s">
        <v>41</v>
      </c>
      <c r="F15" s="12" t="s">
        <v>22</v>
      </c>
      <c r="G15" s="13">
        <v>46312</v>
      </c>
      <c r="H15" s="10" t="s">
        <v>55</v>
      </c>
    </row>
    <row r="16" spans="1:8" ht="34.200000000000003" customHeight="1" x14ac:dyDescent="0.3">
      <c r="A16" s="3" t="s">
        <v>56</v>
      </c>
      <c r="B16" s="4" t="s">
        <v>57</v>
      </c>
      <c r="C16" s="4" t="s">
        <v>58</v>
      </c>
      <c r="D16" s="15" t="s">
        <v>59</v>
      </c>
      <c r="E16" s="6" t="s">
        <v>60</v>
      </c>
      <c r="F16" s="12" t="s">
        <v>22</v>
      </c>
      <c r="G16" s="8">
        <v>46308</v>
      </c>
      <c r="H16" s="4" t="s">
        <v>61</v>
      </c>
    </row>
    <row r="17" spans="1:8" ht="34.200000000000003" customHeight="1" x14ac:dyDescent="0.3">
      <c r="A17" s="9" t="s">
        <v>62</v>
      </c>
      <c r="B17" s="10" t="s">
        <v>63</v>
      </c>
      <c r="C17" s="10" t="s">
        <v>58</v>
      </c>
      <c r="D17" s="15" t="s">
        <v>59</v>
      </c>
      <c r="E17" s="11" t="s">
        <v>41</v>
      </c>
      <c r="F17" s="12" t="s">
        <v>22</v>
      </c>
      <c r="G17" s="13">
        <v>46310</v>
      </c>
      <c r="H17" s="10" t="s">
        <v>64</v>
      </c>
    </row>
    <row r="18" spans="1:8" ht="34.200000000000003" customHeight="1" x14ac:dyDescent="0.3">
      <c r="A18" s="3" t="s">
        <v>65</v>
      </c>
      <c r="B18" s="4" t="s">
        <v>66</v>
      </c>
      <c r="C18" s="4" t="s">
        <v>58</v>
      </c>
      <c r="D18" s="15" t="s">
        <v>59</v>
      </c>
      <c r="E18" s="6" t="s">
        <v>41</v>
      </c>
      <c r="F18" s="12" t="s">
        <v>22</v>
      </c>
      <c r="G18" s="8">
        <v>46311</v>
      </c>
      <c r="H18" s="4" t="s">
        <v>67</v>
      </c>
    </row>
    <row r="19" spans="1:8" ht="34.200000000000003" customHeight="1" x14ac:dyDescent="0.3">
      <c r="A19" s="9" t="s">
        <v>68</v>
      </c>
      <c r="B19" s="10" t="s">
        <v>69</v>
      </c>
      <c r="C19" s="10" t="s">
        <v>58</v>
      </c>
      <c r="D19" s="15" t="s">
        <v>59</v>
      </c>
      <c r="E19" s="11" t="s">
        <v>60</v>
      </c>
      <c r="F19" s="12" t="s">
        <v>22</v>
      </c>
      <c r="G19" s="13">
        <v>46311</v>
      </c>
      <c r="H19" s="10" t="s">
        <v>70</v>
      </c>
    </row>
    <row r="20" spans="1:8" ht="34.200000000000003" customHeight="1" x14ac:dyDescent="0.3">
      <c r="A20" s="3" t="s">
        <v>71</v>
      </c>
      <c r="B20" s="4" t="s">
        <v>72</v>
      </c>
      <c r="C20" s="4" t="s">
        <v>58</v>
      </c>
      <c r="D20" s="15" t="s">
        <v>59</v>
      </c>
      <c r="E20" s="6" t="s">
        <v>60</v>
      </c>
      <c r="F20" s="12" t="s">
        <v>22</v>
      </c>
      <c r="G20" s="8">
        <v>46312</v>
      </c>
      <c r="H20" s="4" t="s">
        <v>73</v>
      </c>
    </row>
    <row r="21" spans="1:8" ht="34.200000000000003" customHeight="1" x14ac:dyDescent="0.3">
      <c r="A21" s="9" t="s">
        <v>74</v>
      </c>
      <c r="B21" s="10" t="s">
        <v>75</v>
      </c>
      <c r="C21" s="10" t="s">
        <v>76</v>
      </c>
      <c r="D21" s="16" t="s">
        <v>77</v>
      </c>
      <c r="E21" s="11" t="s">
        <v>78</v>
      </c>
      <c r="F21" s="12" t="s">
        <v>22</v>
      </c>
      <c r="G21" s="13">
        <v>46308</v>
      </c>
      <c r="H21" s="10" t="s">
        <v>79</v>
      </c>
    </row>
    <row r="22" spans="1:8" ht="34.200000000000003" customHeight="1" x14ac:dyDescent="0.3">
      <c r="A22" s="3" t="s">
        <v>80</v>
      </c>
      <c r="B22" s="4" t="s">
        <v>81</v>
      </c>
      <c r="C22" s="4" t="s">
        <v>76</v>
      </c>
      <c r="D22" s="16" t="s">
        <v>77</v>
      </c>
      <c r="E22" s="6" t="s">
        <v>78</v>
      </c>
      <c r="F22" s="12" t="s">
        <v>22</v>
      </c>
      <c r="G22" s="8">
        <v>46310</v>
      </c>
      <c r="H22" s="4" t="s">
        <v>82</v>
      </c>
    </row>
    <row r="23" spans="1:8" ht="34.200000000000003" customHeight="1" x14ac:dyDescent="0.3">
      <c r="A23" s="9" t="s">
        <v>83</v>
      </c>
      <c r="B23" s="10" t="s">
        <v>84</v>
      </c>
      <c r="C23" s="10" t="s">
        <v>76</v>
      </c>
      <c r="D23" s="16" t="s">
        <v>77</v>
      </c>
      <c r="E23" s="11" t="s">
        <v>85</v>
      </c>
      <c r="F23" s="12" t="s">
        <v>22</v>
      </c>
      <c r="G23" s="13">
        <v>46311</v>
      </c>
      <c r="H23" s="10" t="s">
        <v>86</v>
      </c>
    </row>
    <row r="24" spans="1:8" ht="34.200000000000003" customHeight="1" x14ac:dyDescent="0.3">
      <c r="A24" s="3" t="s">
        <v>87</v>
      </c>
      <c r="B24" s="4" t="s">
        <v>88</v>
      </c>
      <c r="C24" s="4" t="s">
        <v>76</v>
      </c>
      <c r="D24" s="16" t="s">
        <v>77</v>
      </c>
      <c r="E24" s="6" t="s">
        <v>26</v>
      </c>
      <c r="F24" s="12" t="s">
        <v>22</v>
      </c>
      <c r="G24" s="8">
        <v>46312</v>
      </c>
      <c r="H24" s="4" t="s">
        <v>89</v>
      </c>
    </row>
    <row r="25" spans="1:8" ht="34.200000000000003" customHeight="1" x14ac:dyDescent="0.3">
      <c r="A25" s="9" t="s">
        <v>90</v>
      </c>
      <c r="B25" s="10" t="s">
        <v>91</v>
      </c>
      <c r="C25" s="10" t="s">
        <v>76</v>
      </c>
      <c r="D25" s="16" t="s">
        <v>77</v>
      </c>
      <c r="E25" s="11" t="s">
        <v>26</v>
      </c>
      <c r="F25" s="12" t="s">
        <v>22</v>
      </c>
      <c r="G25" s="13">
        <v>46312</v>
      </c>
      <c r="H25" s="10" t="s">
        <v>92</v>
      </c>
    </row>
    <row r="26" spans="1:8" ht="34.200000000000003" customHeight="1" x14ac:dyDescent="0.3">
      <c r="A26" s="3" t="s">
        <v>93</v>
      </c>
      <c r="B26" s="4" t="s">
        <v>94</v>
      </c>
      <c r="C26" s="4" t="s">
        <v>95</v>
      </c>
      <c r="D26" s="17" t="s">
        <v>96</v>
      </c>
      <c r="E26" s="6" t="s">
        <v>85</v>
      </c>
      <c r="F26" s="12" t="s">
        <v>22</v>
      </c>
      <c r="G26" s="8">
        <v>46308</v>
      </c>
      <c r="H26" s="4" t="s">
        <v>97</v>
      </c>
    </row>
    <row r="27" spans="1:8" ht="34.200000000000003" customHeight="1" x14ac:dyDescent="0.3">
      <c r="A27" s="9" t="s">
        <v>98</v>
      </c>
      <c r="B27" s="10" t="s">
        <v>99</v>
      </c>
      <c r="C27" s="10" t="s">
        <v>95</v>
      </c>
      <c r="D27" s="17" t="s">
        <v>96</v>
      </c>
      <c r="E27" s="11" t="s">
        <v>85</v>
      </c>
      <c r="F27" s="12" t="s">
        <v>22</v>
      </c>
      <c r="G27" s="13">
        <v>46309</v>
      </c>
      <c r="H27" s="10" t="s">
        <v>100</v>
      </c>
    </row>
    <row r="28" spans="1:8" ht="34.200000000000003" customHeight="1" x14ac:dyDescent="0.3">
      <c r="A28" s="3" t="s">
        <v>101</v>
      </c>
      <c r="B28" s="4" t="s">
        <v>102</v>
      </c>
      <c r="C28" s="4" t="s">
        <v>95</v>
      </c>
      <c r="D28" s="17" t="s">
        <v>96</v>
      </c>
      <c r="E28" s="6" t="s">
        <v>103</v>
      </c>
      <c r="F28" s="12" t="s">
        <v>22</v>
      </c>
      <c r="G28" s="8">
        <v>46310</v>
      </c>
      <c r="H28" s="4" t="s">
        <v>104</v>
      </c>
    </row>
    <row r="29" spans="1:8" ht="34.200000000000003" customHeight="1" x14ac:dyDescent="0.3">
      <c r="A29" s="9" t="s">
        <v>105</v>
      </c>
      <c r="B29" s="10" t="s">
        <v>106</v>
      </c>
      <c r="C29" s="10" t="s">
        <v>95</v>
      </c>
      <c r="D29" s="17" t="s">
        <v>96</v>
      </c>
      <c r="E29" s="11" t="s">
        <v>85</v>
      </c>
      <c r="F29" s="12" t="s">
        <v>22</v>
      </c>
      <c r="G29" s="13">
        <v>46311</v>
      </c>
      <c r="H29" s="10" t="s">
        <v>107</v>
      </c>
    </row>
    <row r="30" spans="1:8" ht="34.200000000000003" customHeight="1" x14ac:dyDescent="0.3">
      <c r="A30" s="3" t="s">
        <v>108</v>
      </c>
      <c r="B30" s="4" t="s">
        <v>109</v>
      </c>
      <c r="C30" s="4" t="s">
        <v>95</v>
      </c>
      <c r="D30" s="17" t="s">
        <v>96</v>
      </c>
      <c r="E30" s="6" t="s">
        <v>26</v>
      </c>
      <c r="F30" s="12" t="s">
        <v>22</v>
      </c>
      <c r="G30" s="8">
        <v>46312</v>
      </c>
      <c r="H30" s="4" t="s">
        <v>110</v>
      </c>
    </row>
    <row r="31" spans="1:8" ht="34.200000000000003" customHeight="1" x14ac:dyDescent="0.3">
      <c r="A31" s="9" t="s">
        <v>111</v>
      </c>
      <c r="B31" s="10" t="s">
        <v>112</v>
      </c>
      <c r="C31" s="10" t="s">
        <v>113</v>
      </c>
      <c r="D31" s="18" t="s">
        <v>114</v>
      </c>
      <c r="E31" s="11" t="s">
        <v>115</v>
      </c>
      <c r="F31" s="12" t="s">
        <v>22</v>
      </c>
      <c r="G31" s="13">
        <v>46313</v>
      </c>
      <c r="H31" s="10" t="s">
        <v>116</v>
      </c>
    </row>
    <row r="32" spans="1:8" ht="34.200000000000003" customHeight="1" x14ac:dyDescent="0.3">
      <c r="A32" s="3" t="s">
        <v>117</v>
      </c>
      <c r="B32" s="4" t="s">
        <v>118</v>
      </c>
      <c r="C32" s="4" t="s">
        <v>113</v>
      </c>
      <c r="D32" s="18" t="s">
        <v>114</v>
      </c>
      <c r="E32" s="6" t="s">
        <v>115</v>
      </c>
      <c r="F32" s="12" t="s">
        <v>22</v>
      </c>
      <c r="G32" s="8">
        <v>46315</v>
      </c>
      <c r="H32" s="4" t="s">
        <v>119</v>
      </c>
    </row>
    <row r="33" spans="1:8" ht="34.200000000000003" customHeight="1" x14ac:dyDescent="0.3">
      <c r="A33" s="9" t="s">
        <v>120</v>
      </c>
      <c r="B33" s="10" t="s">
        <v>121</v>
      </c>
      <c r="C33" s="10" t="s">
        <v>113</v>
      </c>
      <c r="D33" s="18" t="s">
        <v>114</v>
      </c>
      <c r="E33" s="11" t="s">
        <v>115</v>
      </c>
      <c r="F33" s="12" t="s">
        <v>22</v>
      </c>
      <c r="G33" s="13">
        <v>46316</v>
      </c>
      <c r="H33" s="10" t="s">
        <v>122</v>
      </c>
    </row>
  </sheetData>
  <autoFilter ref="A3:H33" xr:uid="{00000000-0009-0000-0000-000000000000}"/>
  <mergeCells count="2">
    <mergeCell ref="A2:H2"/>
    <mergeCell ref="A1:H1"/>
  </mergeCells>
  <dataValidations count="1">
    <dataValidation type="list" allowBlank="1" sqref="F4:F33" xr:uid="{00000000-0002-0000-0000-000000000000}">
      <formula1>"Backlog,Por hacer,En progreso,En revisión,Completado"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D17" sqref="D17"/>
    </sheetView>
  </sheetViews>
  <sheetFormatPr baseColWidth="10" defaultColWidth="8.88671875" defaultRowHeight="14.4" x14ac:dyDescent="0.3"/>
  <cols>
    <col min="1" max="2" width="22" customWidth="1"/>
    <col min="3" max="4" width="16" customWidth="1"/>
    <col min="5" max="5" width="4" customWidth="1"/>
  </cols>
  <sheetData>
    <row r="1" spans="1:6" ht="31.95" customHeight="1" x14ac:dyDescent="0.3">
      <c r="A1" s="41" t="s">
        <v>123</v>
      </c>
      <c r="B1" s="40"/>
      <c r="C1" s="40"/>
      <c r="D1" s="40"/>
      <c r="E1" s="40"/>
      <c r="F1" s="40"/>
    </row>
    <row r="3" spans="1:6" ht="24" customHeight="1" x14ac:dyDescent="0.3">
      <c r="A3" s="19" t="s">
        <v>4</v>
      </c>
      <c r="B3" s="19" t="s">
        <v>124</v>
      </c>
      <c r="C3" s="20" t="s">
        <v>125</v>
      </c>
      <c r="D3" s="20" t="s">
        <v>126</v>
      </c>
    </row>
    <row r="4" spans="1:6" ht="22.2" customHeight="1" x14ac:dyDescent="0.3">
      <c r="A4" s="21" t="s">
        <v>12</v>
      </c>
      <c r="B4" s="22" t="s">
        <v>13</v>
      </c>
      <c r="C4" s="23">
        <f>COUNTIF('Tablero Kanban'!$C$4:$C$33, A4)</f>
        <v>7</v>
      </c>
      <c r="D4" s="24">
        <f t="shared" ref="D4:D9" si="0">C4/$C$10</f>
        <v>0.23333333333333334</v>
      </c>
    </row>
    <row r="5" spans="1:6" ht="22.2" customHeight="1" x14ac:dyDescent="0.3">
      <c r="A5" s="25" t="s">
        <v>39</v>
      </c>
      <c r="B5" s="26" t="s">
        <v>40</v>
      </c>
      <c r="C5" s="27">
        <f>COUNTIF('Tablero Kanban'!$C$4:$C$33, A5)</f>
        <v>5</v>
      </c>
      <c r="D5" s="28">
        <f t="shared" si="0"/>
        <v>0.16666666666666666</v>
      </c>
    </row>
    <row r="6" spans="1:6" ht="22.2" customHeight="1" x14ac:dyDescent="0.3">
      <c r="A6" s="21" t="s">
        <v>58</v>
      </c>
      <c r="B6" s="29" t="s">
        <v>59</v>
      </c>
      <c r="C6" s="23">
        <f>COUNTIF('Tablero Kanban'!$C$4:$C$33, A6)</f>
        <v>5</v>
      </c>
      <c r="D6" s="24">
        <f t="shared" si="0"/>
        <v>0.16666666666666666</v>
      </c>
    </row>
    <row r="7" spans="1:6" ht="22.2" customHeight="1" x14ac:dyDescent="0.3">
      <c r="A7" s="25" t="s">
        <v>76</v>
      </c>
      <c r="B7" s="30" t="s">
        <v>77</v>
      </c>
      <c r="C7" s="27">
        <f>COUNTIF('Tablero Kanban'!$C$4:$C$33, A7)</f>
        <v>5</v>
      </c>
      <c r="D7" s="28">
        <f t="shared" si="0"/>
        <v>0.16666666666666666</v>
      </c>
    </row>
    <row r="8" spans="1:6" ht="22.2" customHeight="1" x14ac:dyDescent="0.3">
      <c r="A8" s="21" t="s">
        <v>95</v>
      </c>
      <c r="B8" s="31" t="s">
        <v>96</v>
      </c>
      <c r="C8" s="23">
        <f>COUNTIF('Tablero Kanban'!$C$4:$C$33, A8)</f>
        <v>5</v>
      </c>
      <c r="D8" s="24">
        <f t="shared" si="0"/>
        <v>0.16666666666666666</v>
      </c>
    </row>
    <row r="9" spans="1:6" ht="22.2" customHeight="1" x14ac:dyDescent="0.3">
      <c r="A9" s="25" t="s">
        <v>113</v>
      </c>
      <c r="B9" s="32" t="s">
        <v>114</v>
      </c>
      <c r="C9" s="27">
        <f>COUNTIF('Tablero Kanban'!$C$4:$C$33, A9)</f>
        <v>3</v>
      </c>
      <c r="D9" s="28">
        <f t="shared" si="0"/>
        <v>0.1</v>
      </c>
    </row>
    <row r="10" spans="1:6" ht="24" customHeight="1" x14ac:dyDescent="0.3">
      <c r="A10" s="33" t="s">
        <v>127</v>
      </c>
      <c r="B10" s="34" t="s">
        <v>17</v>
      </c>
      <c r="C10" s="34">
        <f>SUM(C4:C9)</f>
        <v>30</v>
      </c>
      <c r="D10" s="35">
        <f>SUM(D4:D9)</f>
        <v>0.99999999999999989</v>
      </c>
    </row>
    <row r="12" spans="1:6" ht="24" customHeight="1" x14ac:dyDescent="0.3">
      <c r="A12" s="19" t="s">
        <v>7</v>
      </c>
      <c r="B12" s="20" t="s">
        <v>128</v>
      </c>
      <c r="C12" s="20" t="s">
        <v>129</v>
      </c>
    </row>
    <row r="13" spans="1:6" ht="22.2" customHeight="1" x14ac:dyDescent="0.3">
      <c r="A13" s="36" t="s">
        <v>14</v>
      </c>
      <c r="B13" s="23">
        <f>COUNTIF('Tablero Kanban'!$F$4:$F$33, A13)</f>
        <v>1</v>
      </c>
      <c r="C13" s="24">
        <f>B13/$B$18</f>
        <v>3.3333333333333333E-2</v>
      </c>
    </row>
    <row r="14" spans="1:6" ht="22.2" customHeight="1" x14ac:dyDescent="0.3">
      <c r="A14" s="37" t="s">
        <v>22</v>
      </c>
      <c r="B14" s="23">
        <f>COUNTIF('Tablero Kanban'!$F$4:$F$33, A14)</f>
        <v>27</v>
      </c>
      <c r="C14" s="24">
        <f>B14/$B$18</f>
        <v>0.9</v>
      </c>
    </row>
    <row r="15" spans="1:6" ht="22.2" customHeight="1" x14ac:dyDescent="0.3">
      <c r="A15" s="38" t="s">
        <v>130</v>
      </c>
      <c r="B15" s="23">
        <f>COUNTIF('Tablero Kanban'!$F$4:$F$33, A15)</f>
        <v>1</v>
      </c>
      <c r="C15" s="24">
        <f>B15/$B$18</f>
        <v>3.3333333333333333E-2</v>
      </c>
    </row>
    <row r="16" spans="1:6" ht="22.2" customHeight="1" x14ac:dyDescent="0.3">
      <c r="A16" s="21" t="s">
        <v>131</v>
      </c>
      <c r="B16" s="23">
        <f>COUNTIF('Tablero Kanban'!$F$4:$F$33, A16)</f>
        <v>0</v>
      </c>
      <c r="C16" s="24">
        <f>B16/$B$18</f>
        <v>0</v>
      </c>
    </row>
    <row r="17" spans="1:3" ht="22.2" customHeight="1" x14ac:dyDescent="0.3">
      <c r="A17" s="26" t="s">
        <v>18</v>
      </c>
      <c r="B17" s="23">
        <f>COUNTIF('Tablero Kanban'!$F$4:$F$33, A17)</f>
        <v>1</v>
      </c>
      <c r="C17" s="24">
        <f>B17/$B$18</f>
        <v>3.3333333333333333E-2</v>
      </c>
    </row>
    <row r="18" spans="1:3" ht="24" customHeight="1" x14ac:dyDescent="0.3">
      <c r="A18" s="33" t="s">
        <v>132</v>
      </c>
      <c r="B18" s="34">
        <f>SUM(B13:B17)</f>
        <v>30</v>
      </c>
      <c r="C18" s="35">
        <f>SUM(C13:C17)</f>
        <v>1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Tablero Kanban</vt:lpstr>
      <vt:lpstr>Resumen y Métricas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 EMILIO TOYOM JIMENEZ</cp:lastModifiedBy>
  <cp:revision/>
  <dcterms:created xsi:type="dcterms:W3CDTF">2026-10-12T00:43:37Z</dcterms:created>
  <dcterms:modified xsi:type="dcterms:W3CDTF">2026-10-14T02:27:50Z</dcterms:modified>
  <cp:category/>
  <cp:contentStatus/>
</cp:coreProperties>
</file>